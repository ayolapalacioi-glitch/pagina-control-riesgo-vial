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Nueva carpeta\"/>
    </mc:Choice>
  </mc:AlternateContent>
  <bookViews>
    <workbookView xWindow="-108" yWindow="-108" windowWidth="19416" windowHeight="11496"/>
  </bookViews>
  <sheets>
    <sheet name="Plantilla T2" sheetId="1" r:id="rId1"/>
  </sheets>
  <calcPr calcId="162913"/>
</workbook>
</file>

<file path=xl/calcChain.xml><?xml version="1.0" encoding="utf-8"?>
<calcChain xmlns="http://schemas.openxmlformats.org/spreadsheetml/2006/main">
  <c r="D19" i="1" l="1"/>
  <c r="F18" i="1"/>
  <c r="G18" i="1" s="1"/>
  <c r="E18" i="1"/>
  <c r="F17" i="1"/>
  <c r="F16" i="1"/>
  <c r="F15" i="1"/>
  <c r="F14" i="1"/>
  <c r="F13" i="1"/>
  <c r="F12" i="1"/>
  <c r="F11" i="1"/>
  <c r="F19" i="1" s="1"/>
  <c r="E11" i="1"/>
  <c r="E12" i="1" s="1"/>
  <c r="E13" i="1" s="1"/>
  <c r="E14" i="1" s="1"/>
  <c r="E15" i="1" s="1"/>
  <c r="E16" i="1" s="1"/>
  <c r="E17" i="1" s="1"/>
  <c r="G11" i="1" l="1"/>
  <c r="G12" i="1" s="1"/>
  <c r="G13" i="1" s="1"/>
  <c r="G14" i="1" s="1"/>
  <c r="G15" i="1" s="1"/>
  <c r="G16" i="1" s="1"/>
  <c r="G17" i="1" s="1"/>
</calcChain>
</file>

<file path=xl/sharedStrings.xml><?xml version="1.0" encoding="utf-8"?>
<sst xmlns="http://schemas.openxmlformats.org/spreadsheetml/2006/main" count="45" uniqueCount="45">
  <si>
    <t>DISTRIBUCIÓN DE FRECUENCIA Y MEDIDAS DE TENDENCIA CENTRAL — TALLER ETAPA 2</t>
  </si>
  <si>
    <t>Hotel Gran Turismo | n = 250 huéspedes | Taller de Estadística Descriptiva</t>
  </si>
  <si>
    <t>Nombre(s):</t>
  </si>
  <si>
    <t>Grupo:</t>
  </si>
  <si>
    <t>Variable asignada:</t>
  </si>
  <si>
    <t>Número de intervalos:</t>
  </si>
  <si>
    <t>TABLA DE DISTRIBUCIÓN DE FRECUENCIA AGRUPADA</t>
  </si>
  <si>
    <t>Clase</t>
  </si>
  <si>
    <t>Intervalo</t>
  </si>
  <si>
    <t>Xi</t>
  </si>
  <si>
    <t>fi</t>
  </si>
  <si>
    <t>Fi</t>
  </si>
  <si>
    <t>ni</t>
  </si>
  <si>
    <t>Ni</t>
  </si>
  <si>
    <t>42 - 62</t>
  </si>
  <si>
    <t>62 - 82</t>
  </si>
  <si>
    <t>82 - 102</t>
  </si>
  <si>
    <t>102 - 122</t>
  </si>
  <si>
    <t>122 - 142</t>
  </si>
  <si>
    <t>142 - 162</t>
  </si>
  <si>
    <t>162 - 182</t>
  </si>
  <si>
    <t>TOTAL</t>
  </si>
  <si>
    <t>MEDIDAS DE TENDENCIA CENTRAL</t>
  </si>
  <si>
    <t>Media (X̄):</t>
  </si>
  <si>
    <t>← Cálculo automático</t>
  </si>
  <si>
    <t>Mediana (Me):</t>
  </si>
  <si>
    <t>← Calcular manualmente con fórmula de interpolación</t>
  </si>
  <si>
    <t>Moda (Mo):</t>
  </si>
  <si>
    <t>← Clase con mayor fi; interpolar si es necesario</t>
  </si>
  <si>
    <t>INSTRUCCIONES DE DILIGENCIAMIENTO</t>
  </si>
  <si>
    <t>1. Complete los campos de identificación (Filas 4-7): Nombre(s), Grupo, Variable asignada y Número de intervalos.</t>
  </si>
  <si>
    <t>2. En la columna B (Intervalo): Ingrese cada intervalo en formato [Límite inferior - Límite superior). El último intervalo cierra con corchete ].</t>
  </si>
  <si>
    <t>3. En la columna C (Xi): Ingrese la Marca de Clase de cada intervalo. Xi = (Límite inferior + Límite superior) / 2.</t>
  </si>
  <si>
    <t>4. En la columna D (fi): Ingrese la frecuencia absoluta simple de cada clase.</t>
  </si>
  <si>
    <t>5. Las columnas Fi, ni y Ni se calculan automáticamente. Verifique que fi total = 250 y ni total = 100.000%.</t>
  </si>
  <si>
    <t>6. La Media (X̄) se calcula automáticamente a partir de Xi y fi. La Mediana y Moda requieren cálculo manual con interpolación.</t>
  </si>
  <si>
    <t>AJUSTE DEL NÚMERO DE FILAS SEGÚN SU NÚMERO DE INTERVALOS:</t>
  </si>
  <si>
    <t xml:space="preserve">   • La tabla viene con 8 filas. Si necesita MÁS: seleccione una fila, clic derecho → Insertar fila, copie fórmulas de E, F y G.</t>
  </si>
  <si>
    <t xml:space="preserve">   • Si necesita MENOS filas: seleccione las sobrantes, clic derecho → Eliminar fila.</t>
  </si>
  <si>
    <t xml:space="preserve">   • IMPORTANTE: Después de ajustar filas, verifique que TOTAL sume correctamente y que la Media siga funcionando.</t>
  </si>
  <si>
    <t>LEYENDA:</t>
  </si>
  <si>
    <t>Las celdas en amarillo con texto azul son campos de entrada. Las celdas con texto negro contienen fórmulas automáticas — no las modifique.</t>
  </si>
  <si>
    <t>D</t>
  </si>
  <si>
    <t>Aura Cecilia Lora Gomez</t>
  </si>
  <si>
    <t>Ingreso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</si>
</sst>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0%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0"/>
      <color rgb="FFCC0000"/>
      <name val="Aptos Narrow"/>
      <family val="2"/>
      <scheme val="minor"/>
    </font>
    <font>
      <b/>
      <sz val="10"/>
      <color rgb="FF1F4E79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2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/>
      <right/>
      <top style="thin">
        <color rgb="FF4472C4"/>
      </top>
      <bottom/>
      <diagonal/>
    </border>
    <border>
      <left/>
      <right/>
      <top style="thin">
        <color rgb="FF4472C4"/>
      </top>
      <bottom style="thin">
        <color rgb="FF4472C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2" borderId="0" xfId="0" applyFont="1" applyFill="1"/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6" fillId="2" borderId="0" xfId="0" applyFont="1" applyFill="1"/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1" fillId="2" borderId="8" xfId="0" applyFont="1" applyFill="1" applyBorder="1" applyAlignment="1">
      <alignment horizontal="center"/>
    </xf>
    <xf numFmtId="165" fontId="1" fillId="2" borderId="9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65" fontId="2" fillId="2" borderId="11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6" fillId="3" borderId="13" xfId="0" applyFont="1" applyFill="1" applyBorder="1"/>
    <xf numFmtId="0" fontId="0" fillId="3" borderId="13" xfId="0" applyFill="1" applyBorder="1"/>
    <xf numFmtId="164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6" fillId="2" borderId="13" xfId="0" applyFont="1" applyFill="1" applyBorder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pane ySplit="10" topLeftCell="A11" activePane="bottomLeft" state="frozen"/>
      <selection pane="bottomLeft" activeCell="B6" sqref="B6"/>
    </sheetView>
  </sheetViews>
  <sheetFormatPr baseColWidth="10" defaultRowHeight="13.8"/>
  <cols>
    <col min="1" max="1" width="28.19921875" customWidth="1"/>
    <col min="2" max="2" width="26.3984375" customWidth="1"/>
    <col min="3" max="7" width="16.3984375" customWidth="1"/>
  </cols>
  <sheetData>
    <row r="1" spans="1:8" ht="18.45" customHeight="1">
      <c r="A1" s="1" t="s">
        <v>0</v>
      </c>
      <c r="B1" s="2"/>
      <c r="C1" s="2"/>
      <c r="D1" s="2"/>
      <c r="E1" s="2"/>
      <c r="F1" s="2"/>
      <c r="G1" s="2"/>
    </row>
    <row r="2" spans="1:8">
      <c r="A2" s="3" t="s">
        <v>1</v>
      </c>
      <c r="B2" s="2"/>
      <c r="C2" s="2"/>
      <c r="D2" s="2"/>
      <c r="E2" s="2"/>
      <c r="F2" s="2"/>
      <c r="G2" s="2"/>
    </row>
    <row r="4" spans="1:8">
      <c r="A4" s="4" t="s">
        <v>2</v>
      </c>
      <c r="B4" s="33" t="s">
        <v>43</v>
      </c>
      <c r="C4" s="2"/>
      <c r="D4" s="5"/>
      <c r="E4" s="5"/>
      <c r="F4" s="5"/>
      <c r="G4" s="5"/>
    </row>
    <row r="5" spans="1:8">
      <c r="A5" s="4" t="s">
        <v>3</v>
      </c>
      <c r="B5" s="6">
        <v>10</v>
      </c>
      <c r="C5" s="6"/>
      <c r="D5" s="2"/>
      <c r="E5" s="2"/>
      <c r="F5" s="2"/>
      <c r="G5" s="2"/>
    </row>
    <row r="6" spans="1:8">
      <c r="A6" s="4" t="s">
        <v>4</v>
      </c>
      <c r="B6" s="6" t="s">
        <v>44</v>
      </c>
      <c r="C6" s="6"/>
      <c r="D6" s="2"/>
      <c r="E6" s="2"/>
      <c r="F6" s="2"/>
      <c r="G6" s="2"/>
    </row>
    <row r="7" spans="1:8">
      <c r="A7" s="4" t="s">
        <v>5</v>
      </c>
      <c r="B7" s="7">
        <v>8</v>
      </c>
      <c r="C7" s="7"/>
      <c r="D7" s="2"/>
      <c r="E7" s="2"/>
      <c r="F7" s="2"/>
      <c r="G7" s="2"/>
    </row>
    <row r="9" spans="1:8" ht="16.5" customHeight="1" thickBot="1">
      <c r="A9" s="8" t="s">
        <v>6</v>
      </c>
      <c r="B9" s="2"/>
      <c r="C9" s="2"/>
      <c r="D9" s="2"/>
      <c r="E9" s="2"/>
      <c r="F9" s="2"/>
      <c r="G9" s="2"/>
    </row>
    <row r="10" spans="1:8" ht="15" customHeight="1" thickBot="1">
      <c r="A10" s="9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1" t="s">
        <v>13</v>
      </c>
    </row>
    <row r="11" spans="1:8">
      <c r="A11" s="12">
        <v>1</v>
      </c>
      <c r="B11" s="13" t="s">
        <v>14</v>
      </c>
      <c r="C11" s="14">
        <v>52</v>
      </c>
      <c r="D11" s="13">
        <v>23</v>
      </c>
      <c r="E11" s="15">
        <f>IF(D11="","",D11)</f>
        <v>23</v>
      </c>
      <c r="F11" s="16">
        <f t="shared" ref="F11:F18" si="0">IF(D11="","",D11/D$19)</f>
        <v>9.1999999999999998E-2</v>
      </c>
      <c r="G11" s="16">
        <f>IF(F11="","",F11)</f>
        <v>9.1999999999999998E-2</v>
      </c>
    </row>
    <row r="12" spans="1:8">
      <c r="A12" s="17">
        <v>2</v>
      </c>
      <c r="B12" s="13" t="s">
        <v>15</v>
      </c>
      <c r="C12" s="14">
        <v>72</v>
      </c>
      <c r="D12" s="13">
        <v>34</v>
      </c>
      <c r="E12" s="17">
        <f t="shared" ref="E12:E18" si="1">IF(D12="","",E11+D12)</f>
        <v>57</v>
      </c>
      <c r="F12" s="18">
        <f t="shared" si="0"/>
        <v>0.13600000000000001</v>
      </c>
      <c r="G12" s="18">
        <f t="shared" ref="G12:G18" si="2">IF(F12="","",G11+F12)</f>
        <v>0.22800000000000001</v>
      </c>
    </row>
    <row r="13" spans="1:8">
      <c r="A13" s="15">
        <v>3</v>
      </c>
      <c r="B13" s="13" t="s">
        <v>16</v>
      </c>
      <c r="C13" s="14">
        <v>92</v>
      </c>
      <c r="D13" s="13">
        <v>52</v>
      </c>
      <c r="E13" s="15">
        <f t="shared" si="1"/>
        <v>109</v>
      </c>
      <c r="F13" s="16">
        <f t="shared" si="0"/>
        <v>0.20799999999999999</v>
      </c>
      <c r="G13" s="16">
        <f t="shared" si="2"/>
        <v>0.436</v>
      </c>
    </row>
    <row r="14" spans="1:8">
      <c r="A14" s="17">
        <v>4</v>
      </c>
      <c r="B14" s="13" t="s">
        <v>17</v>
      </c>
      <c r="C14" s="14">
        <v>112</v>
      </c>
      <c r="D14" s="13">
        <v>50</v>
      </c>
      <c r="E14" s="17">
        <f t="shared" si="1"/>
        <v>159</v>
      </c>
      <c r="F14" s="18">
        <f t="shared" si="0"/>
        <v>0.2</v>
      </c>
      <c r="G14" s="18">
        <f t="shared" si="2"/>
        <v>0.63600000000000001</v>
      </c>
    </row>
    <row r="15" spans="1:8">
      <c r="A15" s="15">
        <v>5</v>
      </c>
      <c r="B15" s="13" t="s">
        <v>18</v>
      </c>
      <c r="C15" s="14">
        <v>132</v>
      </c>
      <c r="D15" s="13">
        <v>53</v>
      </c>
      <c r="E15" s="15">
        <f t="shared" si="1"/>
        <v>212</v>
      </c>
      <c r="F15" s="16">
        <f t="shared" si="0"/>
        <v>0.21199999999999999</v>
      </c>
      <c r="G15" s="16">
        <f t="shared" si="2"/>
        <v>0.84799999999999998</v>
      </c>
    </row>
    <row r="16" spans="1:8">
      <c r="A16" s="17">
        <v>6</v>
      </c>
      <c r="B16" s="13" t="s">
        <v>19</v>
      </c>
      <c r="C16" s="14">
        <v>152</v>
      </c>
      <c r="D16" s="13">
        <v>24</v>
      </c>
      <c r="E16" s="17">
        <f t="shared" si="1"/>
        <v>236</v>
      </c>
      <c r="F16" s="18">
        <f t="shared" si="0"/>
        <v>9.6000000000000002E-2</v>
      </c>
      <c r="G16" s="18">
        <f t="shared" si="2"/>
        <v>0.94399999999999995</v>
      </c>
      <c r="H16" t="s">
        <v>42</v>
      </c>
    </row>
    <row r="17" spans="1:7">
      <c r="A17" s="15">
        <v>7</v>
      </c>
      <c r="B17" s="13" t="s">
        <v>20</v>
      </c>
      <c r="C17" s="14">
        <v>172</v>
      </c>
      <c r="D17" s="13">
        <v>14</v>
      </c>
      <c r="E17" s="15">
        <f t="shared" si="1"/>
        <v>250</v>
      </c>
      <c r="F17" s="16">
        <f t="shared" si="0"/>
        <v>5.6000000000000001E-2</v>
      </c>
      <c r="G17" s="16">
        <f t="shared" si="2"/>
        <v>1</v>
      </c>
    </row>
    <row r="18" spans="1:7">
      <c r="A18" s="19">
        <v>8</v>
      </c>
      <c r="B18" s="13"/>
      <c r="C18" s="14"/>
      <c r="D18" s="13"/>
      <c r="E18" s="17" t="str">
        <f t="shared" si="1"/>
        <v/>
      </c>
      <c r="F18" s="18" t="str">
        <f t="shared" si="0"/>
        <v/>
      </c>
      <c r="G18" s="20" t="str">
        <f t="shared" si="2"/>
        <v/>
      </c>
    </row>
    <row r="19" spans="1:7" ht="15" customHeight="1" thickBot="1">
      <c r="A19" s="21"/>
      <c r="B19" s="22" t="s">
        <v>21</v>
      </c>
      <c r="C19" s="22"/>
      <c r="D19" s="22">
        <f>SUM(D11:D18)</f>
        <v>250</v>
      </c>
      <c r="E19" s="22"/>
      <c r="F19" s="23">
        <f>SUM(F11:F18)</f>
        <v>1</v>
      </c>
      <c r="G19" s="24"/>
    </row>
    <row r="21" spans="1:7" ht="16.5" customHeight="1" thickBot="1">
      <c r="A21" s="25" t="s">
        <v>22</v>
      </c>
      <c r="B21" s="26"/>
      <c r="C21" s="26"/>
      <c r="D21" s="26"/>
      <c r="E21" s="2"/>
      <c r="F21" s="2"/>
      <c r="G21" s="2"/>
    </row>
    <row r="23" spans="1:7">
      <c r="A23" s="4" t="s">
        <v>23</v>
      </c>
      <c r="B23" s="27">
        <v>108.56</v>
      </c>
      <c r="C23" s="28" t="s">
        <v>24</v>
      </c>
      <c r="D23" s="2"/>
    </row>
    <row r="24" spans="1:7">
      <c r="A24" s="4" t="s">
        <v>25</v>
      </c>
      <c r="B24" s="14">
        <v>108.4</v>
      </c>
      <c r="C24" s="28" t="s">
        <v>26</v>
      </c>
      <c r="D24" s="2"/>
    </row>
    <row r="25" spans="1:7">
      <c r="A25" s="4" t="s">
        <v>27</v>
      </c>
      <c r="B25" s="14">
        <v>123.9</v>
      </c>
      <c r="C25" s="28" t="s">
        <v>28</v>
      </c>
      <c r="D25" s="2"/>
    </row>
    <row r="27" spans="1:7" ht="16.5" customHeight="1" thickBot="1">
      <c r="A27" s="29" t="s">
        <v>29</v>
      </c>
    </row>
    <row r="28" spans="1:7">
      <c r="A28" s="2"/>
    </row>
    <row r="29" spans="1:7">
      <c r="A29" s="30" t="s">
        <v>30</v>
      </c>
    </row>
    <row r="30" spans="1:7">
      <c r="A30" s="30" t="s">
        <v>31</v>
      </c>
    </row>
    <row r="31" spans="1:7">
      <c r="A31" s="30" t="s">
        <v>32</v>
      </c>
    </row>
    <row r="32" spans="1:7">
      <c r="A32" s="30" t="s">
        <v>33</v>
      </c>
    </row>
    <row r="33" spans="1:1">
      <c r="A33" s="30" t="s">
        <v>34</v>
      </c>
    </row>
    <row r="34" spans="1:1">
      <c r="A34" s="30" t="s">
        <v>35</v>
      </c>
    </row>
    <row r="35" spans="1:1">
      <c r="A35" s="2"/>
    </row>
    <row r="36" spans="1:1">
      <c r="A36" s="31" t="s">
        <v>36</v>
      </c>
    </row>
    <row r="37" spans="1:1">
      <c r="A37" s="30" t="s">
        <v>37</v>
      </c>
    </row>
    <row r="38" spans="1:1">
      <c r="A38" s="30" t="s">
        <v>38</v>
      </c>
    </row>
    <row r="39" spans="1:1">
      <c r="A39" s="31" t="s">
        <v>39</v>
      </c>
    </row>
    <row r="41" spans="1:1">
      <c r="A41" s="32" t="s">
        <v>40</v>
      </c>
    </row>
    <row r="42" spans="1:1">
      <c r="A42" s="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RAFAEL ORTEGA CUETO</dc:creator>
  <cp:lastModifiedBy>Lenovo</cp:lastModifiedBy>
  <dcterms:created xsi:type="dcterms:W3CDTF">2026-04-22T00:51:59Z</dcterms:created>
  <dcterms:modified xsi:type="dcterms:W3CDTF">2026-05-07T00:01:05Z</dcterms:modified>
</cp:coreProperties>
</file>